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_P\"/>
    </mc:Choice>
  </mc:AlternateContent>
  <xr:revisionPtr revIDLastSave="0" documentId="8_{07CE14F8-AB4F-40F2-8441-95BD3776CB99}" xr6:coauthVersionLast="47" xr6:coauthVersionMax="47" xr10:uidLastSave="{00000000-0000-0000-0000-000000000000}"/>
  <bookViews>
    <workbookView xWindow="-120" yWindow="-120" windowWidth="29040" windowHeight="15720" activeTab="1" xr2:uid="{FEF1353A-50DF-447E-83A5-A072EEA4BE90}"/>
  </bookViews>
  <sheets>
    <sheet name="orignal_tickets" sheetId="1" r:id="rId1"/>
    <sheet name="Pivot&amp;chart" sheetId="4" r:id="rId2"/>
    <sheet name="task" sheetId="3" r:id="rId3"/>
    <sheet name="teams" sheetId="2" r:id="rId4"/>
  </sheets>
  <calcPr calcId="191029"/>
  <pivotCaches>
    <pivotCache cacheId="5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 a="1"/>
  <c r="G13" i="3"/>
  <c r="G12" i="3"/>
  <c r="G11" i="3"/>
  <c r="G10" i="3"/>
  <c r="G9" i="3"/>
  <c r="G8" i="3"/>
  <c r="G7" i="3"/>
  <c r="G6" i="3"/>
  <c r="G5" i="3"/>
  <c r="G4" i="3"/>
  <c r="I3" i="3"/>
  <c r="G3" i="3"/>
  <c r="G2" i="3"/>
  <c r="I7" i="3" l="1"/>
  <c r="I13" i="3"/>
  <c r="I10" i="3"/>
  <c r="I4" i="3"/>
  <c r="I12" i="3"/>
  <c r="I9" i="3"/>
  <c r="I8" i="3"/>
  <c r="I11" i="3"/>
  <c r="I5" i="3"/>
  <c r="I6" i="3"/>
  <c r="I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<sst xmlns="http://schemas.openxmlformats.org/spreadsheetml/2006/main" count="116" uniqueCount="31">
  <si>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</si>
  <si>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</si>
  <si>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</si>
  <si>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</si>
  <si>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</si>
  <si>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</si>
  <si>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</si>
  <si>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</si>
  <si>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</si>
  <si>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</si>
  <si>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</si>
  <si>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</si>
  <si>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</si>
  <si>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</si>
  <si>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</si>
  <si>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</si>
  <si>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</si>
  <si>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</si>
  <si>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</si>
  <si>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</si>
  <si>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</si>
  <si>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</si>
  <si>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</si>
  <si>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</si>
  <si>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E1: Data clean karne ke liye data me se remove duplicate ka use kiya</t>
  </si>
  <si>
    <t>Labelled</t>
  </si>
  <si>
    <t>Row Labels</t>
  </si>
  <si>
    <t>Grand Total</t>
  </si>
  <si>
    <t xml:space="preserve">breach_flag </t>
  </si>
  <si>
    <t>Column Labels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</si>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</sst>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[project_exam_2 (version 2).xlsx]Pivot&amp;chart!department wise avearage_hour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Department</a:t>
            </a:r>
            <a:r>
              <a:rPr lang="en-IN" baseline="0"/>
              <a:t> VS Resolution_Hours</a:t>
            </a:r>
            <a:endParaRPr lang="en-IN"/>
          </a:p>
        </c:rich>
      </c:tx>
      <c:layout>
        <c:manualLayout>
          <c:xMode val="edge"/>
          <c:yMode val="edge"/>
          <c:x val="0.29037852849039031"/>
          <c:y val="1.69712450631011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830835661671326E-2"/>
          <c:y val="0.13059750525493494"/>
          <c:w val="0.8242336804673609"/>
          <c:h val="0.67452339319774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'Pivot&amp;chart'!$B$3:$B$4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'Pivot&amp;chart'!$A$5:$A$7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'Pivot&amp;chart'!$B$5:$B$7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A-4338-9A68-D82273A06867}"/>
            </c:ext>
          </c:extLst>
        </c:ser>
        <c:ser>
          <c:idx val="1"/>
          <c:order val="1"/>
          <c:tx>
            <c:strRef>
              <c:f>'Pivot&amp;chart'!$C$3:$C$4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'Pivot&amp;chart'!$A$5:$A$7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'Pivot&amp;chart'!$C$5:$C$7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A-4338-9A68-D82273A06867}"/>
            </c:ext>
          </c:extLst>
        </c:ser>
        <c:ser>
          <c:idx val="2"/>
          <c:order val="2"/>
          <c:tx>
            <c:strRef>
              <c:f>'Pivot&amp;chart'!$D$3:$D$4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'Pivot&amp;chart'!$A$5:$A$7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'Pivot&amp;chart'!$D$5:$D$7</c:f>
              <c:numCache>
                <c:formatCode>General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AA-4338-9A68-D82273A06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41609503"/>
        <c:axId val="932673359"/>
      </c:barChart>
      <c:catAx>
        <c:axId val="94160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>
                    <a:solidFill>
                      <a:schemeClr val="bg1"/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73359"/>
        <c:crosses val="autoZero"/>
        <c:auto val="1"/>
        <c:lblAlgn val="ctr"/>
        <c:lblOffset val="100"/>
        <c:noMultiLvlLbl val="0"/>
      </c:catAx>
      <c:valAx>
        <c:axId val="9326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bg1"/>
                    </a:solidFill>
                  </a:rPr>
                  <a:t>Avg_Resolution_hourse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60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1504950</xdr:colOff>
      <xdr:row>8</xdr:row>
      <xdr:rowOff>176212</xdr:rowOff>
    </xdr:from>
    <xdr:to>
      <xdr:col>12</xdr:col>
      <xdr:colOff>104775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494AF-034C-558A-144C-AFF49FD05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8.476046875003" createdVersion="8" refreshedVersion="8" minRefreshableVersion="3" recordCount="13" xr:uid="{991E1A0F-CAB7-4383-B75F-9D59942BE36E}">
  <cacheSource type="worksheet">
    <worksheetSource ref="A1:I13" sheet="task"/>
  </cacheSource>
  <cacheFields count="9">
    <cacheField name="ticket_id" numFmtId="1">
      <sharedItems containsString="0" containsBlank="1" containsNumber="1" containsInteger="1" minValue="1" maxValue="12"/>
    </cacheField>
    <cacheField name="month" numFmtId="14">
      <sharedItems containsBlank="1" count="4">
        <s v="Jan"/>
        <s v="Feb"/>
        <s v="Mar"/>
        <m/>
      </sharedItems>
    </cacheField>
    <cacheField name="team_id" numFmtId="0">
      <sharedItems containsBlank="1"/>
    </cacheField>
    <cacheField name="channel" numFmtId="0">
      <sharedItems containsBlank="1"/>
    </cacheField>
    <cacheField name="resolution_hours" numFmtId="1">
      <sharedItems containsString="0" containsBlank="1" containsNumber="1" containsInteger="1" minValue="8" maxValue="40" count="13">
        <n v="12"/>
        <n v="28"/>
        <n v="36"/>
        <n v="20"/>
        <n v="8"/>
        <n v="30"/>
        <n v="18"/>
        <n v="40"/>
        <n v="16"/>
        <n v="22"/>
        <n v="32"/>
        <n v="24"/>
        <m/>
      </sharedItems>
    </cacheField>
    <cacheField name="satisfaction" numFmtId="1">
      <sharedItems containsString="0" containsBlank="1" containsNumber="1" containsInteger="1" minValue="2" maxValue="5"/>
    </cacheField>
    <cacheField name="department" numFmtId="1">
      <sharedItems containsBlank="1" count="3">
        <s v="Service"/>
        <s v="Technical"/>
        <m/>
      </sharedItems>
    </cacheField>
    <cacheField name="breack_flag" numFmtId="0">
      <sharedItems containsSemiMixedTypes="0" containsString="0" containsNumber="1" containsInteger="1" minValue="0" maxValue="1"/>
    </cacheField>
    <cacheField name="Labelled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x v="0"/>
    <s v="T1"/>
    <s v="Email"/>
    <x v="0"/>
    <n v="4"/>
    <x v="0"/>
    <n v="1"/>
    <n v="0"/>
  </r>
  <r>
    <n v="2"/>
    <x v="0"/>
    <s v="T2"/>
    <s v="Chat"/>
    <x v="1"/>
    <n v="3"/>
    <x v="0"/>
    <n v="0"/>
    <n v="0"/>
  </r>
  <r>
    <n v="3"/>
    <x v="0"/>
    <s v="T3"/>
    <s v="Phone"/>
    <x v="2"/>
    <n v="2"/>
    <x v="1"/>
    <n v="1"/>
    <n v="0"/>
  </r>
  <r>
    <n v="4"/>
    <x v="0"/>
    <s v="T4"/>
    <s v="Email"/>
    <x v="3"/>
    <n v="4"/>
    <x v="1"/>
    <n v="1"/>
    <n v="0"/>
  </r>
  <r>
    <n v="5"/>
    <x v="1"/>
    <s v="T1"/>
    <s v="Chat"/>
    <x v="4"/>
    <n v="5"/>
    <x v="0"/>
    <n v="0"/>
    <n v="0"/>
  </r>
  <r>
    <n v="6"/>
    <x v="1"/>
    <s v="T2"/>
    <s v="Phone"/>
    <x v="5"/>
    <n v="3"/>
    <x v="0"/>
    <n v="0"/>
    <n v="0"/>
  </r>
  <r>
    <n v="7"/>
    <x v="1"/>
    <s v="T3"/>
    <s v="Email"/>
    <x v="6"/>
    <n v="4"/>
    <x v="1"/>
    <n v="1"/>
    <n v="0"/>
  </r>
  <r>
    <n v="8"/>
    <x v="1"/>
    <s v="T4"/>
    <s v="Chat"/>
    <x v="7"/>
    <n v="2"/>
    <x v="1"/>
    <n v="0"/>
    <n v="0"/>
  </r>
  <r>
    <n v="9"/>
    <x v="2"/>
    <s v="T1"/>
    <s v="Phone"/>
    <x v="8"/>
    <n v="4"/>
    <x v="0"/>
    <n v="1"/>
    <n v="0"/>
  </r>
  <r>
    <n v="10"/>
    <x v="2"/>
    <s v="T2"/>
    <s v="Email"/>
    <x v="9"/>
    <n v="4"/>
    <x v="0"/>
    <n v="0"/>
    <n v="0"/>
  </r>
  <r>
    <n v="11"/>
    <x v="2"/>
    <s v="T3"/>
    <s v="Chat"/>
    <x v="10"/>
    <n v="3"/>
    <x v="1"/>
    <n v="0"/>
    <n v="0"/>
  </r>
  <r>
    <n v="12"/>
    <x v="2"/>
    <s v="T4"/>
    <s v="Phone"/>
    <x v="11"/>
    <n v="5"/>
    <x v="1"/>
    <n v="1"/>
    <n v="0"/>
  </r>
  <r>
    <m/>
    <x v="3"/>
    <m/>
    <m/>
    <x v="12"/>
    <m/>
    <x v="2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4493F-E5F9-40E3-A738-1B53F379D894}" name="department wise avearage_hour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7" firstHeaderRow="1" firstDataRow="2" firstDataCol="1"/>
  <pivotFields count="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14">
        <item x="4"/>
        <item x="0"/>
        <item x="8"/>
        <item x="6"/>
        <item x="3"/>
        <item x="9"/>
        <item x="11"/>
        <item x="1"/>
        <item x="5"/>
        <item x="10"/>
        <item x="2"/>
        <item x="7"/>
        <item x="12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20A4-05F4-45DE-A716-F7145FEA3F6E}">
  <dimension ref="A1:F14"/>
  <sheetViews>
    <sheetView workbookViewId="0">
      <selection activeCell="D13" sqref="D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12</v>
      </c>
      <c r="F2">
        <v>4</v>
      </c>
    </row>
    <row r="3" spans="1:6" x14ac:dyDescent="0.25">
      <c r="A3">
        <v>2</v>
      </c>
      <c r="B3" t="s">
        <v>6</v>
      </c>
      <c r="C3" t="s">
        <v>9</v>
      </c>
      <c r="D3" t="s">
        <v>10</v>
      </c>
      <c r="E3">
        <v>28</v>
      </c>
      <c r="F3">
        <v>3</v>
      </c>
    </row>
    <row r="4" spans="1:6" x14ac:dyDescent="0.25">
      <c r="A4">
        <v>3</v>
      </c>
      <c r="B4" t="s">
        <v>6</v>
      </c>
      <c r="C4" t="s">
        <v>11</v>
      </c>
      <c r="D4" t="s">
        <v>12</v>
      </c>
      <c r="E4">
        <v>36</v>
      </c>
      <c r="F4">
        <v>2</v>
      </c>
    </row>
    <row r="5" spans="1:6" x14ac:dyDescent="0.25">
      <c r="A5">
        <v>4</v>
      </c>
      <c r="B5" t="s">
        <v>6</v>
      </c>
      <c r="C5" t="s">
        <v>13</v>
      </c>
      <c r="D5" t="s">
        <v>8</v>
      </c>
      <c r="E5">
        <v>20</v>
      </c>
      <c r="F5">
        <v>4</v>
      </c>
    </row>
    <row r="6" spans="1:6" x14ac:dyDescent="0.25">
      <c r="A6">
        <v>5</v>
      </c>
      <c r="B6" t="s">
        <v>14</v>
      </c>
      <c r="C6" t="s">
        <v>7</v>
      </c>
      <c r="D6" t="s">
        <v>10</v>
      </c>
      <c r="E6">
        <v>8</v>
      </c>
      <c r="F6">
        <v>5</v>
      </c>
    </row>
    <row r="7" spans="1:6" x14ac:dyDescent="0.25">
      <c r="A7">
        <v>6</v>
      </c>
      <c r="B7" t="s">
        <v>14</v>
      </c>
      <c r="C7" t="s">
        <v>9</v>
      </c>
      <c r="D7" t="s">
        <v>12</v>
      </c>
      <c r="E7">
        <v>30</v>
      </c>
      <c r="F7">
        <v>3</v>
      </c>
    </row>
    <row r="8" spans="1:6" x14ac:dyDescent="0.25">
      <c r="A8">
        <v>7</v>
      </c>
      <c r="B8" t="s">
        <v>14</v>
      </c>
      <c r="C8" t="s">
        <v>11</v>
      </c>
      <c r="D8" t="s">
        <v>8</v>
      </c>
      <c r="E8">
        <v>18</v>
      </c>
      <c r="F8">
        <v>4</v>
      </c>
    </row>
    <row r="9" spans="1:6" x14ac:dyDescent="0.25">
      <c r="A9">
        <v>8</v>
      </c>
      <c r="B9" t="s">
        <v>14</v>
      </c>
      <c r="C9" t="s">
        <v>13</v>
      </c>
      <c r="D9" t="s">
        <v>10</v>
      </c>
      <c r="E9">
        <v>40</v>
      </c>
      <c r="F9">
        <v>2</v>
      </c>
    </row>
    <row r="10" spans="1:6" x14ac:dyDescent="0.25">
      <c r="A10">
        <v>9</v>
      </c>
      <c r="B10" t="s">
        <v>15</v>
      </c>
      <c r="C10" t="s">
        <v>7</v>
      </c>
      <c r="D10" t="s">
        <v>12</v>
      </c>
      <c r="E10">
        <v>16</v>
      </c>
      <c r="F10">
        <v>4</v>
      </c>
    </row>
    <row r="11" spans="1:6" x14ac:dyDescent="0.25">
      <c r="A11">
        <v>10</v>
      </c>
      <c r="B11" t="s">
        <v>15</v>
      </c>
      <c r="C11" t="s">
        <v>9</v>
      </c>
      <c r="D11" t="s">
        <v>8</v>
      </c>
      <c r="E11">
        <v>22</v>
      </c>
      <c r="F11">
        <v>4</v>
      </c>
    </row>
    <row r="12" spans="1:6" x14ac:dyDescent="0.25">
      <c r="A12">
        <v>11</v>
      </c>
      <c r="B12" t="s">
        <v>15</v>
      </c>
      <c r="C12" t="s">
        <v>11</v>
      </c>
      <c r="D12" t="s">
        <v>10</v>
      </c>
      <c r="E12">
        <v>32</v>
      </c>
      <c r="F12">
        <v>3</v>
      </c>
    </row>
    <row r="13" spans="1:6" x14ac:dyDescent="0.25">
      <c r="A13">
        <v>12</v>
      </c>
      <c r="B13" t="s">
        <v>15</v>
      </c>
      <c r="C13" t="s">
        <v>13</v>
      </c>
      <c r="D13" t="s">
        <v>12</v>
      </c>
      <c r="E13">
        <v>24</v>
      </c>
      <c r="F13">
        <v>5</v>
      </c>
    </row>
    <row r="14" spans="1:6" x14ac:dyDescent="0.25">
      <c r="A14">
        <v>12</v>
      </c>
      <c r="B14" t="s">
        <v>15</v>
      </c>
      <c r="C14" t="s">
        <v>13</v>
      </c>
      <c r="D14" t="s">
        <v>12</v>
      </c>
      <c r="E14">
        <v>24</v>
      </c>
      <c r="F1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0752-E5A7-4760-9739-42D0755AEC7B}">
  <dimension ref="A3:E7"/>
  <sheetViews>
    <sheetView tabSelected="1" workbookViewId="0">
      <selection activeCell="F3" sqref="F3"/>
    </sheetView>
  </sheetViews>
  <sheetFormatPr defaultRowHeight="15" x14ac:dyDescent="0.25"/>
  <cols>
    <col min="1" max="1" width="26.7109375" bestFit="1" customWidth="1"/>
    <col min="2" max="2" width="16.85546875" bestFit="1" customWidth="1"/>
    <col min="3" max="3" width="4.28515625" bestFit="1" customWidth="1"/>
    <col min="4" max="4" width="5" bestFit="1" customWidth="1"/>
    <col min="5" max="6" width="12" bestFit="1" customWidth="1"/>
  </cols>
  <sheetData>
    <row r="3" spans="1:5" x14ac:dyDescent="0.25">
      <c r="A3" s="9" t="s">
        <v>30</v>
      </c>
      <c r="B3" s="9" t="s">
        <v>29</v>
      </c>
    </row>
    <row r="4" spans="1:5" x14ac:dyDescent="0.25">
      <c r="A4" s="9" t="s">
        <v>26</v>
      </c>
      <c r="B4" t="s">
        <v>6</v>
      </c>
      <c r="C4" t="s">
        <v>14</v>
      </c>
      <c r="D4" t="s">
        <v>15</v>
      </c>
      <c r="E4" t="s">
        <v>27</v>
      </c>
    </row>
    <row r="5" spans="1:5" x14ac:dyDescent="0.25">
      <c r="A5" s="10" t="s">
        <v>19</v>
      </c>
      <c r="B5" s="8">
        <v>20</v>
      </c>
      <c r="C5" s="8">
        <v>19</v>
      </c>
      <c r="D5" s="8">
        <v>19</v>
      </c>
      <c r="E5" s="8">
        <v>19.333333333333332</v>
      </c>
    </row>
    <row r="6" spans="1:5" x14ac:dyDescent="0.25">
      <c r="A6" s="10" t="s">
        <v>22</v>
      </c>
      <c r="B6" s="8">
        <v>28</v>
      </c>
      <c r="C6" s="8">
        <v>29</v>
      </c>
      <c r="D6" s="8">
        <v>28</v>
      </c>
      <c r="E6" s="8">
        <v>28.333333333333332</v>
      </c>
    </row>
    <row r="7" spans="1:5" x14ac:dyDescent="0.25">
      <c r="A7" s="10" t="s">
        <v>27</v>
      </c>
      <c r="B7" s="8">
        <v>24</v>
      </c>
      <c r="C7" s="8">
        <v>24</v>
      </c>
      <c r="D7" s="8">
        <v>23.5</v>
      </c>
      <c r="E7" s="8">
        <v>23.833333333333332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5F77-EAB6-4380-AA55-A8B220BE896A}">
  <dimension ref="A1:R27"/>
  <sheetViews>
    <sheetView topLeftCell="B1" zoomScale="110" zoomScaleNormal="160" workbookViewId="0">
      <selection activeCell="H18" sqref="H18"/>
    </sheetView>
  </sheetViews>
  <sheetFormatPr defaultColWidth="29.42578125" defaultRowHeight="15" x14ac:dyDescent="0.25"/>
  <cols>
    <col min="1" max="1" width="13.28515625" style="3" bestFit="1" customWidth="1"/>
    <col min="2" max="2" width="9.5703125" style="5" bestFit="1" customWidth="1"/>
    <col min="3" max="3" width="12" bestFit="1" customWidth="1"/>
    <col min="4" max="4" width="11.140625" bestFit="1" customWidth="1"/>
    <col min="5" max="5" width="23.28515625" style="3" bestFit="1" customWidth="1"/>
    <col min="6" max="6" width="16.85546875" style="3" bestFit="1" customWidth="1"/>
    <col min="7" max="7" width="16" style="3" bestFit="1" customWidth="1"/>
    <col min="8" max="8" width="16" style="3" customWidth="1"/>
  </cols>
  <sheetData>
    <row r="1" spans="1:18" x14ac:dyDescent="0.25">
      <c r="A1" s="2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17</v>
      </c>
      <c r="H1" s="11" t="s">
        <v>28</v>
      </c>
      <c r="I1" s="1" t="s">
        <v>25</v>
      </c>
      <c r="J1" s="1"/>
      <c r="K1" s="7" t="s">
        <v>24</v>
      </c>
      <c r="L1" s="7"/>
      <c r="M1" s="7"/>
      <c r="N1" s="7"/>
      <c r="O1" s="7"/>
      <c r="P1" s="7"/>
      <c r="Q1" s="7"/>
      <c r="R1" s="7"/>
    </row>
    <row r="2" spans="1:18" x14ac:dyDescent="0.25">
      <c r="A2" s="3">
        <v>1</v>
      </c>
      <c r="B2" s="5" t="s">
        <v>6</v>
      </c>
      <c r="C2" t="s">
        <v>7</v>
      </c>
      <c r="D2" t="s">
        <v>8</v>
      </c>
      <c r="E2" s="3">
        <v>12</v>
      </c>
      <c r="F2" s="3">
        <v>4</v>
      </c>
      <c r="G2" s="3" t="str">
        <f>_xlfn.XLOOKUP(C2,teams!$A$2:$A$5,teams!$C$2:$C$5)</f>
        <v>Service</v>
      </c>
      <c r="H2" s="3" cm="1">
        <f t="array" ref="H2:H14">IF(E1:E13&gt;24,1,0)</f>
        <v>1</v>
      </c>
      <c r="I2">
        <f>COUNTIFS($D:$D,D3,$G:$G,1)</f>
        <v>0</v>
      </c>
      <c r="K2" s="7"/>
      <c r="L2" s="7"/>
      <c r="M2" s="7"/>
      <c r="N2" s="7"/>
      <c r="O2" s="7"/>
      <c r="P2" s="7"/>
      <c r="Q2" s="7"/>
      <c r="R2" s="7"/>
    </row>
    <row r="3" spans="1:18" x14ac:dyDescent="0.25">
      <c r="A3" s="3">
        <v>2</v>
      </c>
      <c r="B3" s="5" t="s">
        <v>6</v>
      </c>
      <c r="C3" t="s">
        <v>9</v>
      </c>
      <c r="D3" t="s">
        <v>10</v>
      </c>
      <c r="E3" s="3">
        <v>28</v>
      </c>
      <c r="F3" s="3">
        <v>3</v>
      </c>
      <c r="G3" s="3" t="str">
        <f>_xlfn.XLOOKUP(C3,teams!$A$2:$A$5,teams!$C$2:$C$5)</f>
        <v>Service</v>
      </c>
      <c r="H3" s="3">
        <v>0</v>
      </c>
      <c r="I3">
        <f>COUNTIFS($D:$D,D4,$G:$G,1)</f>
        <v>0</v>
      </c>
    </row>
    <row r="4" spans="1:18" x14ac:dyDescent="0.25">
      <c r="A4" s="3">
        <v>3</v>
      </c>
      <c r="B4" s="5" t="s">
        <v>6</v>
      </c>
      <c r="C4" t="s">
        <v>11</v>
      </c>
      <c r="D4" t="s">
        <v>12</v>
      </c>
      <c r="E4" s="3">
        <v>36</v>
      </c>
      <c r="F4" s="3">
        <v>2</v>
      </c>
      <c r="G4" s="3" t="str">
        <f>_xlfn.XLOOKUP(C4,teams!$A$2:$A$5,teams!$C$2:$C$5)</f>
        <v>Technical</v>
      </c>
      <c r="H4" s="3">
        <v>1</v>
      </c>
      <c r="I4">
        <f>COUNTIFS($D:$D,D4,$G:$G,1)</f>
        <v>0</v>
      </c>
    </row>
    <row r="5" spans="1:18" x14ac:dyDescent="0.25">
      <c r="A5" s="3">
        <v>4</v>
      </c>
      <c r="B5" s="5" t="s">
        <v>6</v>
      </c>
      <c r="C5" t="s">
        <v>13</v>
      </c>
      <c r="D5" t="s">
        <v>8</v>
      </c>
      <c r="E5" s="3">
        <v>20</v>
      </c>
      <c r="F5" s="3">
        <v>4</v>
      </c>
      <c r="G5" s="3" t="str">
        <f>_xlfn.XLOOKUP(C5,teams!$A$2:$A$5,teams!$C$2:$C$5)</f>
        <v>Technical</v>
      </c>
      <c r="H5" s="3">
        <v>1</v>
      </c>
      <c r="I5">
        <f>COUNTIFS($D:$D,D5,$G:$G,1)</f>
        <v>0</v>
      </c>
    </row>
    <row r="6" spans="1:18" x14ac:dyDescent="0.25">
      <c r="A6" s="3">
        <v>5</v>
      </c>
      <c r="B6" s="5" t="s">
        <v>14</v>
      </c>
      <c r="C6" t="s">
        <v>7</v>
      </c>
      <c r="D6" t="s">
        <v>10</v>
      </c>
      <c r="E6" s="3">
        <v>8</v>
      </c>
      <c r="F6" s="3">
        <v>5</v>
      </c>
      <c r="G6" s="3" t="str">
        <f>_xlfn.XLOOKUP(C6,teams!$A$2:$A$5,teams!$C$2:$C$5)</f>
        <v>Service</v>
      </c>
      <c r="H6" s="3">
        <v>0</v>
      </c>
      <c r="I6">
        <f>COUNTIFS($D:$D,D6,$G:$G,1)</f>
        <v>0</v>
      </c>
    </row>
    <row r="7" spans="1:18" x14ac:dyDescent="0.25">
      <c r="A7" s="3">
        <v>6</v>
      </c>
      <c r="B7" s="5" t="s">
        <v>14</v>
      </c>
      <c r="C7" t="s">
        <v>9</v>
      </c>
      <c r="D7" t="s">
        <v>12</v>
      </c>
      <c r="E7" s="3">
        <v>30</v>
      </c>
      <c r="F7" s="3">
        <v>3</v>
      </c>
      <c r="G7" s="3" t="str">
        <f>_xlfn.XLOOKUP(C7,teams!$A$2:$A$5,teams!$C$2:$C$5)</f>
        <v>Service</v>
      </c>
      <c r="H7" s="3">
        <v>0</v>
      </c>
      <c r="I7">
        <f>COUNTIFS($D:$D,D7,$G:$G,1)</f>
        <v>0</v>
      </c>
    </row>
    <row r="8" spans="1:18" x14ac:dyDescent="0.25">
      <c r="A8" s="3">
        <v>7</v>
      </c>
      <c r="B8" s="5" t="s">
        <v>14</v>
      </c>
      <c r="C8" t="s">
        <v>11</v>
      </c>
      <c r="D8" t="s">
        <v>8</v>
      </c>
      <c r="E8" s="3">
        <v>18</v>
      </c>
      <c r="F8" s="3">
        <v>4</v>
      </c>
      <c r="G8" s="3" t="str">
        <f>_xlfn.XLOOKUP(C8,teams!$A$2:$A$5,teams!$C$2:$C$5)</f>
        <v>Technical</v>
      </c>
      <c r="H8" s="3">
        <v>1</v>
      </c>
      <c r="I8">
        <f>COUNTIFS($D:$D,D8,$G:$G,1)</f>
        <v>0</v>
      </c>
    </row>
    <row r="9" spans="1:18" x14ac:dyDescent="0.25">
      <c r="A9" s="3">
        <v>8</v>
      </c>
      <c r="B9" s="5" t="s">
        <v>14</v>
      </c>
      <c r="C9" t="s">
        <v>13</v>
      </c>
      <c r="D9" t="s">
        <v>10</v>
      </c>
      <c r="E9" s="3">
        <v>40</v>
      </c>
      <c r="F9" s="3">
        <v>2</v>
      </c>
      <c r="G9" s="3" t="str">
        <f>_xlfn.XLOOKUP(C9,teams!$A$2:$A$5,teams!$C$2:$C$5)</f>
        <v>Technical</v>
      </c>
      <c r="H9" s="3">
        <v>0</v>
      </c>
      <c r="I9">
        <f>COUNTIFS($D:$D,D9,$G:$G,1)</f>
        <v>0</v>
      </c>
    </row>
    <row r="10" spans="1:18" x14ac:dyDescent="0.25">
      <c r="A10" s="3">
        <v>9</v>
      </c>
      <c r="B10" s="5" t="s">
        <v>15</v>
      </c>
      <c r="C10" t="s">
        <v>7</v>
      </c>
      <c r="D10" t="s">
        <v>12</v>
      </c>
      <c r="E10" s="3">
        <v>16</v>
      </c>
      <c r="F10" s="3">
        <v>4</v>
      </c>
      <c r="G10" s="3" t="str">
        <f>_xlfn.XLOOKUP(C10,teams!$A$2:$A$5,teams!$C$2:$C$5)</f>
        <v>Service</v>
      </c>
      <c r="H10" s="3">
        <v>1</v>
      </c>
      <c r="I10">
        <f>COUNTIFS($D:$D,D10,$G:$G,1)</f>
        <v>0</v>
      </c>
    </row>
    <row r="11" spans="1:18" x14ac:dyDescent="0.25">
      <c r="A11" s="3">
        <v>10</v>
      </c>
      <c r="B11" s="5" t="s">
        <v>15</v>
      </c>
      <c r="C11" t="s">
        <v>9</v>
      </c>
      <c r="D11" t="s">
        <v>8</v>
      </c>
      <c r="E11" s="3">
        <v>22</v>
      </c>
      <c r="F11" s="3">
        <v>4</v>
      </c>
      <c r="G11" s="3" t="str">
        <f>_xlfn.XLOOKUP(C11,teams!$A$2:$A$5,teams!$C$2:$C$5)</f>
        <v>Service</v>
      </c>
      <c r="H11" s="3">
        <v>0</v>
      </c>
      <c r="I11">
        <f>COUNTIFS($D:$D,D11,$G:$G,1)</f>
        <v>0</v>
      </c>
    </row>
    <row r="12" spans="1:18" x14ac:dyDescent="0.25">
      <c r="A12" s="3">
        <v>11</v>
      </c>
      <c r="B12" s="5" t="s">
        <v>15</v>
      </c>
      <c r="C12" t="s">
        <v>11</v>
      </c>
      <c r="D12" t="s">
        <v>10</v>
      </c>
      <c r="E12" s="3">
        <v>32</v>
      </c>
      <c r="F12" s="3">
        <v>3</v>
      </c>
      <c r="G12" s="3" t="str">
        <f>_xlfn.XLOOKUP(C12,teams!$A$2:$A$5,teams!$C$2:$C$5)</f>
        <v>Technical</v>
      </c>
      <c r="H12" s="3">
        <v>0</v>
      </c>
      <c r="I12">
        <f>COUNTIFS($D:$D,D12,$G:$G,1)</f>
        <v>0</v>
      </c>
    </row>
    <row r="13" spans="1:18" x14ac:dyDescent="0.25">
      <c r="A13" s="3">
        <v>12</v>
      </c>
      <c r="B13" s="5" t="s">
        <v>15</v>
      </c>
      <c r="C13" t="s">
        <v>13</v>
      </c>
      <c r="D13" t="s">
        <v>12</v>
      </c>
      <c r="E13" s="3">
        <v>24</v>
      </c>
      <c r="F13" s="3">
        <v>5</v>
      </c>
      <c r="G13" s="3" t="str">
        <f>_xlfn.XLOOKUP(C13,teams!$A$2:$A$5,teams!$C$2:$C$5)</f>
        <v>Technical</v>
      </c>
      <c r="H13" s="3">
        <v>1</v>
      </c>
      <c r="I13">
        <f>COUNTIFS($D:$D,D13,$G:$G,1)</f>
        <v>0</v>
      </c>
    </row>
    <row r="14" spans="1:18" x14ac:dyDescent="0.25">
      <c r="H14" s="3">
        <v>0</v>
      </c>
    </row>
    <row r="25" spans="5:5" x14ac:dyDescent="0.25">
      <c r="E25" s="6"/>
    </row>
    <row r="26" spans="5:5" x14ac:dyDescent="0.25">
      <c r="E26" s="6"/>
    </row>
    <row r="27" spans="5:5" x14ac:dyDescent="0.25">
      <c r="E27" s="6"/>
    </row>
  </sheetData>
  <mergeCells count="1">
    <mergeCell ref="K1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D75B-3B21-4BDC-B5FA-FFA2B6762E57}">
  <dimension ref="A1:C5"/>
  <sheetViews>
    <sheetView workbookViewId="0">
      <selection activeCell="C1" sqref="C1"/>
    </sheetView>
  </sheetViews>
  <sheetFormatPr defaultColWidth="12.7109375" defaultRowHeight="15" x14ac:dyDescent="0.25"/>
  <cols>
    <col min="1" max="1" width="8.140625" bestFit="1" customWidth="1"/>
    <col min="2" max="2" width="12.140625" bestFit="1" customWidth="1"/>
    <col min="3" max="3" width="11.5703125" bestFit="1" customWidth="1"/>
  </cols>
  <sheetData>
    <row r="1" spans="1:3" x14ac:dyDescent="0.25">
      <c r="A1" s="1" t="s">
        <v>2</v>
      </c>
      <c r="B1" s="1" t="s">
        <v>16</v>
      </c>
      <c r="C1" s="1" t="s">
        <v>17</v>
      </c>
    </row>
    <row r="2" spans="1:3" x14ac:dyDescent="0.25">
      <c r="A2" t="s">
        <v>7</v>
      </c>
      <c r="B2" t="s">
        <v>18</v>
      </c>
      <c r="C2" t="s">
        <v>19</v>
      </c>
    </row>
    <row r="3" spans="1:3" x14ac:dyDescent="0.25">
      <c r="A3" t="s">
        <v>9</v>
      </c>
      <c r="B3" t="s">
        <v>20</v>
      </c>
      <c r="C3" t="s">
        <v>19</v>
      </c>
    </row>
    <row r="4" spans="1:3" x14ac:dyDescent="0.25">
      <c r="A4" t="s">
        <v>11</v>
      </c>
      <c r="B4" t="s">
        <v>21</v>
      </c>
      <c r="C4" t="s">
        <v>22</v>
      </c>
    </row>
    <row r="5" spans="1:3" x14ac:dyDescent="0.25">
      <c r="A5" t="s">
        <v>13</v>
      </c>
      <c r="B5" t="s">
        <v>23</v>
      </c>
      <c r="C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orignal_tickets</vt:lpstr>
      <vt:lpstr>Pivot&amp;chart</vt:lpstr>
      <vt:lpstr>task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lohar</dc:creator>
  <cp:lastModifiedBy>mahesh lohar</cp:lastModifiedBy>
  <dcterms:created xsi:type="dcterms:W3CDTF">2026-10-03T04:55:46Z</dcterms:created>
  <dcterms:modified xsi:type="dcterms:W3CDTF">2026-10-03T09:47:42Z</dcterms:modified>
</cp:coreProperties>
</file>